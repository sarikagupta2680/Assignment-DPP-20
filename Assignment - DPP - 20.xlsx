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timelines/timeline1.xml" ContentType="application/vnd.ms-excel.timelin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2.xml" ContentType="application/vnd.ms-excel.timelin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mc:AlternateContent xmlns:mc="http://schemas.openxmlformats.org/markup-compatibility/2006">
    <mc:Choice Requires="x15">
      <x15ac:absPath xmlns:x15ac="http://schemas.microsoft.com/office/spreadsheetml/2010/11/ac" url="C:\Users\dell\Desktop\Data Analysis\Assignment - DPP's\"/>
    </mc:Choice>
  </mc:AlternateContent>
  <xr:revisionPtr revIDLastSave="0" documentId="13_ncr:1_{8412FCEC-7362-46A0-9369-F49DC2A9CE33}" xr6:coauthVersionLast="47" xr6:coauthVersionMax="47" xr10:uidLastSave="{00000000-0000-0000-0000-000000000000}"/>
  <bookViews>
    <workbookView xWindow="-110" yWindow="-110" windowWidth="19420" windowHeight="10420" activeTab="1" xr2:uid="{6B0799BC-4BC5-416C-894A-2C99669E69AD}"/>
  </bookViews>
  <sheets>
    <sheet name="DPP-20" sheetId="1" r:id="rId1"/>
    <sheet name="Ans DPP-20" sheetId="2" r:id="rId2"/>
  </sheets>
  <definedNames>
    <definedName name="NativeTimeline_Date">#N/A</definedName>
    <definedName name="NativeTimeline_Date1">#N/A</definedName>
    <definedName name="Slicer_Salesperson">#N/A</definedName>
  </definedNames>
  <calcPr calcId="191029"/>
  <pivotCaches>
    <pivotCache cacheId="15" r:id="rId3"/>
    <pivotCache cacheId="3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 i="1" l="1"/>
  <c r="B4" i="1"/>
  <c r="B5" i="1"/>
  <c r="B6" i="1"/>
  <c r="B7" i="1"/>
  <c r="B8" i="1"/>
  <c r="B9" i="1"/>
  <c r="B10" i="1"/>
  <c r="B11" i="1"/>
  <c r="B12" i="1"/>
  <c r="B13" i="1"/>
  <c r="B14" i="1"/>
  <c r="B15" i="1"/>
  <c r="B16" i="1"/>
  <c r="B17" i="1"/>
  <c r="B18" i="1"/>
  <c r="B19" i="1"/>
  <c r="B20" i="1"/>
  <c r="B21" i="1"/>
  <c r="B2" i="1"/>
</calcChain>
</file>

<file path=xl/sharedStrings.xml><?xml version="1.0" encoding="utf-8"?>
<sst xmlns="http://schemas.openxmlformats.org/spreadsheetml/2006/main" count="131" uniqueCount="47">
  <si>
    <t>Date</t>
  </si>
  <si>
    <t>Region</t>
  </si>
  <si>
    <t>Salesperson</t>
  </si>
  <si>
    <t>Product</t>
  </si>
  <si>
    <t>Units Sold</t>
  </si>
  <si>
    <t>Revenue</t>
  </si>
  <si>
    <t>Discount</t>
  </si>
  <si>
    <t>Profit</t>
  </si>
  <si>
    <t>Ans.1</t>
  </si>
  <si>
    <t>East</t>
  </si>
  <si>
    <t>John Doe</t>
  </si>
  <si>
    <t>Laptop</t>
  </si>
  <si>
    <t>Row Labels</t>
  </si>
  <si>
    <t>Sum of Revenue</t>
  </si>
  <si>
    <t>West</t>
  </si>
  <si>
    <t>Jane Smith</t>
  </si>
  <si>
    <t>Phone</t>
  </si>
  <si>
    <t>North</t>
  </si>
  <si>
    <t>Adam Lee</t>
  </si>
  <si>
    <t>Tablet</t>
  </si>
  <si>
    <t>South</t>
  </si>
  <si>
    <t>Emily Clark</t>
  </si>
  <si>
    <t>Monitor</t>
  </si>
  <si>
    <t>Grand Total</t>
  </si>
  <si>
    <t>Ans.4</t>
  </si>
  <si>
    <t>Ans.2</t>
  </si>
  <si>
    <t>Ans.3</t>
  </si>
  <si>
    <t>average discount</t>
  </si>
  <si>
    <t>screenshot of your final dashboard.</t>
  </si>
  <si>
    <t>(PivotTable CreationJ</t>
  </si>
  <si>
    <t>1. Create a PivotTable to summarize total revenue per region. Which region has the highest total revenue</t>
  </si>
  <si>
    <t>ASSIGNMENT - DPP-20 (ANSWER)</t>
  </si>
  <si>
    <t>2 Slicer ImplementationJ</t>
  </si>
  <si>
    <t>Add a slicer for the Salesperson column. How many unique salespersons are in the dataset</t>
  </si>
  <si>
    <t>3 Timeline UsageJ</t>
  </si>
  <si>
    <t>Insert a timeline for the Date column. What is the total revenue for January 2024</t>
  </si>
  <si>
    <t>Month</t>
  </si>
  <si>
    <t>Jan</t>
  </si>
  <si>
    <t>Year</t>
  </si>
  <si>
    <t>Column Labels</t>
  </si>
  <si>
    <t>Average of Revenue</t>
  </si>
  <si>
    <t>4 Calculate the average discount applied per region using a PivotTable. Which region has the highest</t>
  </si>
  <si>
    <t>5.  Calculated FieldJ</t>
  </si>
  <si>
    <t>Sum of Profit</t>
  </si>
  <si>
    <t xml:space="preserve">Create a Profit Margin % calculated field as . What is the highest profit margin in the dataset </t>
  </si>
  <si>
    <t>Combine the PivotTables, PivotCharts, Slicers, and Timelines into a single interactive dashboard. Take a</t>
  </si>
  <si>
    <t>6 Dashboard Creation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</si>
</sst>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entury Gothic"/>
      <family val="2"/>
      <scheme val="minor"/>
    </font>
    <font>
      <b/>
      <sz val="11"/>
      <color theme="1"/>
      <name val="Century Gothic"/>
      <family val="2"/>
      <scheme val="minor"/>
    </font>
    <font>
      <b/>
      <sz val="10"/>
      <color theme="1"/>
      <name val="Arial"/>
      <family val="2"/>
    </font>
    <font>
      <sz val="10"/>
      <color theme="1"/>
      <name val="Arial"/>
      <family val="2"/>
    </font>
    <font>
      <b/>
      <sz val="20"/>
      <color theme="1"/>
      <name val="Century Gothic"/>
      <family val="2"/>
      <scheme val="minor"/>
    </font>
  </fonts>
  <fills count="3">
    <fill>
      <patternFill patternType="none"/>
    </fill>
    <fill>
      <patternFill patternType="gray125"/>
    </fill>
    <fill>
      <patternFill patternType="solid">
        <fgColor theme="8" tint="0.39997558519241921"/>
        <bgColor indexed="64"/>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top/>
      <bottom/>
      <diagonal/>
    </border>
  </borders>
  <cellStyleXfs count="1">
    <xf numFmtId="0" fontId="0" fillId="0" borderId="0"/>
  </cellStyleXfs>
  <cellXfs count="19">
    <xf numFmtId="0" fontId="0" fillId="0" borderId="0" xfId="0"/>
    <xf numFmtId="0" fontId="2" fillId="0" borderId="1" xfId="0" applyFont="1" applyBorder="1" applyAlignment="1">
      <alignment horizontal="center" wrapText="1"/>
    </xf>
    <xf numFmtId="0" fontId="2" fillId="0" borderId="2" xfId="0" applyFont="1" applyBorder="1" applyAlignment="1">
      <alignment horizontal="center" wrapText="1"/>
    </xf>
    <xf numFmtId="14" fontId="3" fillId="0" borderId="1" xfId="0" applyNumberFormat="1" applyFont="1" applyBorder="1" applyAlignment="1">
      <alignment horizontal="right" wrapText="1"/>
    </xf>
    <xf numFmtId="0" fontId="3" fillId="0" borderId="1" xfId="0" applyFont="1" applyBorder="1" applyAlignment="1">
      <alignment wrapText="1"/>
    </xf>
    <xf numFmtId="0" fontId="3" fillId="0" borderId="1" xfId="0" applyFont="1" applyBorder="1" applyAlignment="1">
      <alignment horizontal="right" wrapText="1"/>
    </xf>
    <xf numFmtId="9" fontId="3" fillId="0" borderId="1" xfId="0" applyNumberFormat="1" applyFont="1" applyBorder="1" applyAlignment="1">
      <alignment horizontal="right" wrapText="1"/>
    </xf>
    <xf numFmtId="0" fontId="0" fillId="0" borderId="0" xfId="0" applyAlignment="1">
      <alignment horizontal="left"/>
    </xf>
    <xf numFmtId="0" fontId="1" fillId="0" borderId="0" xfId="0" applyFont="1" applyAlignment="1">
      <alignment horizontal="left"/>
    </xf>
    <xf numFmtId="14" fontId="0" fillId="0" borderId="0" xfId="0" applyNumberFormat="1" applyAlignment="1">
      <alignment horizontal="left"/>
    </xf>
    <xf numFmtId="0" fontId="1" fillId="0" borderId="0" xfId="0" applyFont="1"/>
    <xf numFmtId="0" fontId="0" fillId="0" borderId="0" xfId="0" pivotButton="1"/>
    <xf numFmtId="0" fontId="0" fillId="0" borderId="0" xfId="0" applyNumberFormat="1"/>
    <xf numFmtId="0" fontId="4" fillId="0" borderId="0" xfId="0" applyFont="1" applyAlignment="1">
      <alignment horizontal="center"/>
    </xf>
    <xf numFmtId="1" fontId="2" fillId="0" borderId="1" xfId="0" applyNumberFormat="1" applyFont="1" applyBorder="1" applyAlignment="1">
      <alignment horizontal="center" wrapText="1"/>
    </xf>
    <xf numFmtId="1" fontId="3" fillId="0" borderId="1" xfId="0" applyNumberFormat="1" applyFont="1" applyBorder="1" applyAlignment="1">
      <alignment horizontal="right" wrapText="1"/>
    </xf>
    <xf numFmtId="1" fontId="0" fillId="0" borderId="0" xfId="0" applyNumberFormat="1"/>
    <xf numFmtId="10" fontId="0" fillId="0" borderId="0" xfId="0" applyNumberFormat="1"/>
    <xf numFmtId="0" fontId="4"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11/relationships/timelineCache" Target="timelineCaches/timeline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2.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13</xdr:col>
      <xdr:colOff>209550</xdr:colOff>
      <xdr:row>27</xdr:row>
      <xdr:rowOff>50800</xdr:rowOff>
    </xdr:from>
    <xdr:to>
      <xdr:col>17</xdr:col>
      <xdr:colOff>647700</xdr:colOff>
      <xdr:row>35</xdr:row>
      <xdr:rowOff>50800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015F9318-BED6-4BD6-B182-30C34D692153}"/>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13392150" y="4832350"/>
              <a:ext cx="3079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209550</xdr:colOff>
      <xdr:row>14</xdr:row>
      <xdr:rowOff>171450</xdr:rowOff>
    </xdr:from>
    <xdr:to>
      <xdr:col>3</xdr:col>
      <xdr:colOff>279400</xdr:colOff>
      <xdr:row>23</xdr:row>
      <xdr:rowOff>38100</xdr:rowOff>
    </xdr:to>
    <mc:AlternateContent xmlns:mc="http://schemas.openxmlformats.org/markup-compatibility/2006">
      <mc:Choice xmlns:a14="http://schemas.microsoft.com/office/drawing/2010/main" Requires="a14">
        <xdr:graphicFrame macro="">
          <xdr:nvGraphicFramePr>
            <xdr:cNvPr id="3" name="Salesperson">
              <a:extLst>
                <a:ext uri="{FF2B5EF4-FFF2-40B4-BE49-F238E27FC236}">
                  <a16:creationId xmlns:a16="http://schemas.microsoft.com/office/drawing/2014/main" id="{79FB58CC-BA26-4D7F-A60C-A9DFB8B484FC}"/>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149350" y="2755900"/>
              <a:ext cx="1778000" cy="1416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114300</xdr:colOff>
      <xdr:row>27</xdr:row>
      <xdr:rowOff>76200</xdr:rowOff>
    </xdr:from>
    <xdr:to>
      <xdr:col>7</xdr:col>
      <xdr:colOff>374650</xdr:colOff>
      <xdr:row>35</xdr:row>
      <xdr:rowOff>76200</xdr:rowOff>
    </xdr:to>
    <mc:AlternateContent xmlns:mc="http://schemas.openxmlformats.org/markup-compatibility/2006">
      <mc:Choice xmlns:tsle="http://schemas.microsoft.com/office/drawing/2012/timeslicer" Requires="tsle">
        <xdr:graphicFrame macro="">
          <xdr:nvGraphicFramePr>
            <xdr:cNvPr id="4" name="Date 1">
              <a:extLst>
                <a:ext uri="{FF2B5EF4-FFF2-40B4-BE49-F238E27FC236}">
                  <a16:creationId xmlns:a16="http://schemas.microsoft.com/office/drawing/2014/main" id="{69782886-C216-5986-8EE5-870AB3712C75}"/>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2762250" y="4908550"/>
              <a:ext cx="333375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2" Type="http://schemas.openxmlformats.org/officeDocument/2006/relationships/externalLinkPath" Target="/Users/dell/Desktop/Data%20Analysis/Paytm_UPI_Analytics_Case_Study%20(1).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07.893111111109" createdVersion="8" refreshedVersion="8" minRefreshableVersion="3" recordCount="20" xr:uid="{D4A05DDB-A223-44D9-8D74-922947987031}">
  <cacheSource type="worksheet">
    <worksheetSource ref="A1:H21" sheet="DPP-20" r:id="rId2"/>
  </cacheSource>
  <cacheFields count="8">
    <cacheField name="Date" numFmtId="1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Region" numFmtId="0">
      <sharedItems count="4">
        <s v="East"/>
        <s v="West"/>
        <s v="North"/>
        <s v="South"/>
      </sharedItems>
    </cacheField>
    <cacheField name="Salesperson" numFmtId="0">
      <sharedItems count="4">
        <s v="John Doe"/>
        <s v="Jane Smith"/>
        <s v="Adam Lee"/>
        <s v="Emily Clark"/>
      </sharedItems>
    </cacheField>
    <cacheField name="Product" numFmtId="0">
      <sharedItems count="4">
        <s v="Laptop"/>
        <s v="Phone"/>
        <s v="Tablet"/>
        <s v="Monitor"/>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641345592"/>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013.810020254627" createdVersion="8" refreshedVersion="8" minRefreshableVersion="3" recordCount="20" xr:uid="{5E78D749-0F37-4E68-8B49-537E92A1ED93}">
  <cacheSource type="worksheet">
    <worksheetSource ref="A1:J21" sheet="DPP-20"/>
  </cacheSource>
  <cacheFields count="10">
    <cacheField name="Date" numFmtId="14">
      <sharedItems containsSemiMixedTypes="0" containsNonDate="0" containsDate="1" containsString="0" minDate="2024-01-01T00:00:00" maxDate="2024-01-21T00:00:00" count="2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sharedItems>
    </cacheField>
    <cacheField name="Month" numFmtId="14">
      <sharedItems count="1">
        <s v="Jan"/>
      </sharedItems>
    </cacheField>
    <cacheField name="Year" numFmtId="1">
      <sharedItems containsSemiMixedTypes="0" containsString="0" containsNumber="1" containsInteger="1" minValue="2024" maxValue="2024" count="1">
        <n v="2024"/>
      </sharedItems>
    </cacheField>
    <cacheField name="Region" numFmtId="0">
      <sharedItems count="4">
        <s v="East"/>
        <s v="West"/>
        <s v="North"/>
        <s v="South"/>
      </sharedItems>
    </cacheField>
    <cacheField name="Salesperson" numFmtId="0">
      <sharedItems/>
    </cacheField>
    <cacheField name="Product" numFmtId="0">
      <sharedItems/>
    </cacheField>
    <cacheField name="Units Sold" numFmtId="0">
      <sharedItems containsSemiMixedTypes="0" containsString="0" containsNumber="1" containsInteger="1" minValue="4" maxValue="15"/>
    </cacheField>
    <cacheField name="Revenue" numFmtId="0">
      <sharedItems containsSemiMixedTypes="0" containsString="0" containsNumber="1" containsInteger="1" minValue="2800" maxValue="10500"/>
    </cacheField>
    <cacheField name="Discount" numFmtId="9">
      <sharedItems containsSemiMixedTypes="0" containsString="0" containsNumber="1" minValue="0.03" maxValue="0.12"/>
    </cacheField>
    <cacheField name="Profit" numFmtId="0">
      <sharedItems containsSemiMixedTypes="0" containsString="0" containsNumber="1" containsInteger="1" minValue="400" maxValue="2200"/>
    </cacheField>
  </cacheFields>
  <extLst>
    <ext xmlns:x14="http://schemas.microsoft.com/office/spreadsheetml/2009/9/main" uri="{725AE2AE-9491-48be-B2B4-4EB974FC3084}">
      <x14:pivotCacheDefinition pivotCacheId="158834540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n v="5"/>
    <n v="5000"/>
    <n v="0.1"/>
    <n v="1000"/>
  </r>
  <r>
    <x v="1"/>
    <x v="1"/>
    <x v="1"/>
    <x v="1"/>
    <n v="10"/>
    <n v="7000"/>
    <n v="0.05"/>
    <n v="1500"/>
  </r>
  <r>
    <x v="2"/>
    <x v="2"/>
    <x v="2"/>
    <x v="2"/>
    <n v="8"/>
    <n v="4000"/>
    <n v="0.08"/>
    <n v="800"/>
  </r>
  <r>
    <x v="3"/>
    <x v="3"/>
    <x v="3"/>
    <x v="3"/>
    <n v="6"/>
    <n v="3000"/>
    <n v="0.12"/>
    <n v="600"/>
  </r>
  <r>
    <x v="4"/>
    <x v="0"/>
    <x v="0"/>
    <x v="1"/>
    <n v="12"/>
    <n v="8400"/>
    <n v="7.0000000000000007E-2"/>
    <n v="1800"/>
  </r>
  <r>
    <x v="5"/>
    <x v="1"/>
    <x v="1"/>
    <x v="0"/>
    <n v="7"/>
    <n v="4900"/>
    <n v="0.06"/>
    <n v="900"/>
  </r>
  <r>
    <x v="6"/>
    <x v="2"/>
    <x v="2"/>
    <x v="3"/>
    <n v="15"/>
    <n v="10500"/>
    <n v="0.04"/>
    <n v="2100"/>
  </r>
  <r>
    <x v="7"/>
    <x v="3"/>
    <x v="3"/>
    <x v="2"/>
    <n v="9"/>
    <n v="6200"/>
    <n v="0.09"/>
    <n v="1200"/>
  </r>
  <r>
    <x v="8"/>
    <x v="0"/>
    <x v="0"/>
    <x v="0"/>
    <n v="4"/>
    <n v="2800"/>
    <n v="0.1"/>
    <n v="400"/>
  </r>
  <r>
    <x v="9"/>
    <x v="1"/>
    <x v="1"/>
    <x v="1"/>
    <n v="11"/>
    <n v="7700"/>
    <n v="0.03"/>
    <n v="1600"/>
  </r>
  <r>
    <x v="10"/>
    <x v="2"/>
    <x v="2"/>
    <x v="2"/>
    <n v="6"/>
    <n v="3600"/>
    <n v="0.05"/>
    <n v="700"/>
  </r>
  <r>
    <x v="11"/>
    <x v="3"/>
    <x v="3"/>
    <x v="3"/>
    <n v="13"/>
    <n v="9100"/>
    <n v="7.0000000000000007E-2"/>
    <n v="1900"/>
  </r>
  <r>
    <x v="12"/>
    <x v="0"/>
    <x v="0"/>
    <x v="1"/>
    <n v="10"/>
    <n v="8000"/>
    <n v="0.06"/>
    <n v="1500"/>
  </r>
  <r>
    <x v="13"/>
    <x v="1"/>
    <x v="1"/>
    <x v="0"/>
    <n v="8"/>
    <n v="4800"/>
    <n v="0.08"/>
    <n v="900"/>
  </r>
  <r>
    <x v="14"/>
    <x v="2"/>
    <x v="2"/>
    <x v="3"/>
    <n v="14"/>
    <n v="9900"/>
    <n v="0.04"/>
    <n v="2200"/>
  </r>
  <r>
    <x v="15"/>
    <x v="3"/>
    <x v="3"/>
    <x v="2"/>
    <n v="9"/>
    <n v="5700"/>
    <n v="0.11"/>
    <n v="1100"/>
  </r>
  <r>
    <x v="16"/>
    <x v="0"/>
    <x v="0"/>
    <x v="0"/>
    <n v="12"/>
    <n v="7500"/>
    <n v="0.09"/>
    <n v="1400"/>
  </r>
  <r>
    <x v="17"/>
    <x v="1"/>
    <x v="1"/>
    <x v="1"/>
    <n v="7"/>
    <n v="5200"/>
    <n v="0.06"/>
    <n v="1000"/>
  </r>
  <r>
    <x v="18"/>
    <x v="2"/>
    <x v="2"/>
    <x v="2"/>
    <n v="11"/>
    <n v="6800"/>
    <n v="0.05"/>
    <n v="1300"/>
  </r>
  <r>
    <x v="19"/>
    <x v="3"/>
    <x v="3"/>
    <x v="3"/>
    <n v="5"/>
    <n v="4300"/>
    <n v="7.0000000000000007E-2"/>
    <n v="85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
  <r>
    <x v="0"/>
    <x v="0"/>
    <x v="0"/>
    <x v="0"/>
    <s v="John Doe"/>
    <s v="Laptop"/>
    <n v="5"/>
    <n v="5000"/>
    <n v="0.1"/>
    <n v="1000"/>
  </r>
  <r>
    <x v="1"/>
    <x v="0"/>
    <x v="0"/>
    <x v="1"/>
    <s v="Jane Smith"/>
    <s v="Phone"/>
    <n v="10"/>
    <n v="7000"/>
    <n v="0.05"/>
    <n v="1500"/>
  </r>
  <r>
    <x v="2"/>
    <x v="0"/>
    <x v="0"/>
    <x v="2"/>
    <s v="Adam Lee"/>
    <s v="Tablet"/>
    <n v="8"/>
    <n v="4000"/>
    <n v="0.08"/>
    <n v="800"/>
  </r>
  <r>
    <x v="3"/>
    <x v="0"/>
    <x v="0"/>
    <x v="3"/>
    <s v="Emily Clark"/>
    <s v="Monitor"/>
    <n v="6"/>
    <n v="3000"/>
    <n v="0.12"/>
    <n v="600"/>
  </r>
  <r>
    <x v="4"/>
    <x v="0"/>
    <x v="0"/>
    <x v="0"/>
    <s v="John Doe"/>
    <s v="Phone"/>
    <n v="12"/>
    <n v="8400"/>
    <n v="7.0000000000000007E-2"/>
    <n v="1800"/>
  </r>
  <r>
    <x v="5"/>
    <x v="0"/>
    <x v="0"/>
    <x v="1"/>
    <s v="Jane Smith"/>
    <s v="Laptop"/>
    <n v="7"/>
    <n v="4900"/>
    <n v="0.06"/>
    <n v="900"/>
  </r>
  <r>
    <x v="6"/>
    <x v="0"/>
    <x v="0"/>
    <x v="2"/>
    <s v="Adam Lee"/>
    <s v="Monitor"/>
    <n v="15"/>
    <n v="10500"/>
    <n v="0.04"/>
    <n v="2100"/>
  </r>
  <r>
    <x v="7"/>
    <x v="0"/>
    <x v="0"/>
    <x v="3"/>
    <s v="Emily Clark"/>
    <s v="Tablet"/>
    <n v="9"/>
    <n v="6200"/>
    <n v="0.09"/>
    <n v="1200"/>
  </r>
  <r>
    <x v="8"/>
    <x v="0"/>
    <x v="0"/>
    <x v="0"/>
    <s v="John Doe"/>
    <s v="Laptop"/>
    <n v="4"/>
    <n v="2800"/>
    <n v="0.1"/>
    <n v="400"/>
  </r>
  <r>
    <x v="9"/>
    <x v="0"/>
    <x v="0"/>
    <x v="1"/>
    <s v="Jane Smith"/>
    <s v="Phone"/>
    <n v="11"/>
    <n v="7700"/>
    <n v="0.03"/>
    <n v="1600"/>
  </r>
  <r>
    <x v="10"/>
    <x v="0"/>
    <x v="0"/>
    <x v="2"/>
    <s v="Adam Lee"/>
    <s v="Tablet"/>
    <n v="6"/>
    <n v="3600"/>
    <n v="0.05"/>
    <n v="700"/>
  </r>
  <r>
    <x v="11"/>
    <x v="0"/>
    <x v="0"/>
    <x v="3"/>
    <s v="Emily Clark"/>
    <s v="Monitor"/>
    <n v="13"/>
    <n v="9100"/>
    <n v="7.0000000000000007E-2"/>
    <n v="1900"/>
  </r>
  <r>
    <x v="12"/>
    <x v="0"/>
    <x v="0"/>
    <x v="0"/>
    <s v="John Doe"/>
    <s v="Phone"/>
    <n v="10"/>
    <n v="8000"/>
    <n v="0.06"/>
    <n v="1500"/>
  </r>
  <r>
    <x v="13"/>
    <x v="0"/>
    <x v="0"/>
    <x v="1"/>
    <s v="Jane Smith"/>
    <s v="Laptop"/>
    <n v="8"/>
    <n v="4800"/>
    <n v="0.08"/>
    <n v="900"/>
  </r>
  <r>
    <x v="14"/>
    <x v="0"/>
    <x v="0"/>
    <x v="2"/>
    <s v="Adam Lee"/>
    <s v="Monitor"/>
    <n v="14"/>
    <n v="9900"/>
    <n v="0.04"/>
    <n v="2200"/>
  </r>
  <r>
    <x v="15"/>
    <x v="0"/>
    <x v="0"/>
    <x v="3"/>
    <s v="Emily Clark"/>
    <s v="Tablet"/>
    <n v="9"/>
    <n v="5700"/>
    <n v="0.11"/>
    <n v="1100"/>
  </r>
  <r>
    <x v="16"/>
    <x v="0"/>
    <x v="0"/>
    <x v="0"/>
    <s v="John Doe"/>
    <s v="Laptop"/>
    <n v="12"/>
    <n v="7500"/>
    <n v="0.09"/>
    <n v="1400"/>
  </r>
  <r>
    <x v="17"/>
    <x v="0"/>
    <x v="0"/>
    <x v="1"/>
    <s v="Jane Smith"/>
    <s v="Phone"/>
    <n v="7"/>
    <n v="5200"/>
    <n v="0.06"/>
    <n v="1000"/>
  </r>
  <r>
    <x v="18"/>
    <x v="0"/>
    <x v="0"/>
    <x v="2"/>
    <s v="Adam Lee"/>
    <s v="Tablet"/>
    <n v="11"/>
    <n v="6800"/>
    <n v="0.05"/>
    <n v="1300"/>
  </r>
  <r>
    <x v="19"/>
    <x v="0"/>
    <x v="0"/>
    <x v="3"/>
    <s v="Emily Clark"/>
    <s v="Monitor"/>
    <n v="5"/>
    <n v="4300"/>
    <n v="7.0000000000000007E-2"/>
    <n v="85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DCA535D-9DF4-4925-B132-CD0754F616F4}" name="PivotTable4"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L27:M48" firstHeaderRow="1" firstDataRow="1" firstDataCol="1"/>
  <pivotFields count="8">
    <pivotField axis="axisRow" numFmtId="14" showAll="0">
      <items count="21">
        <item x="0"/>
        <item x="1"/>
        <item x="2"/>
        <item x="3"/>
        <item x="4"/>
        <item x="5"/>
        <item x="6"/>
        <item x="7"/>
        <item x="8"/>
        <item x="9"/>
        <item x="10"/>
        <item x="11"/>
        <item x="12"/>
        <item x="13"/>
        <item x="14"/>
        <item x="15"/>
        <item x="16"/>
        <item x="17"/>
        <item x="18"/>
        <item x="19"/>
        <item t="default"/>
      </items>
    </pivotField>
    <pivotField showAll="0"/>
    <pivotField showAll="0"/>
    <pivotField showAll="0"/>
    <pivotField showAll="0"/>
    <pivotField dataField="1" showAll="0"/>
    <pivotField numFmtId="9" showAll="0"/>
    <pivotField showAll="0"/>
  </pivotFields>
  <rowFields count="1">
    <field x="0"/>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Revenue" fld="5" baseField="0" baseItem="0"/>
  </dataField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6420DE-C2E6-4111-93F8-FE2562BAAE52}" name="PivotTable2"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L10:M15" firstHeaderRow="1" firstDataRow="1" firstDataCol="1"/>
  <pivotFields count="8">
    <pivotField numFmtId="14" showAll="0"/>
    <pivotField showAll="0"/>
    <pivotField showAll="0"/>
    <pivotField axis="axisRow" showAll="0">
      <items count="5">
        <item x="0"/>
        <item x="3"/>
        <item x="1"/>
        <item x="2"/>
        <item t="default"/>
      </items>
    </pivotField>
    <pivotField showAll="0"/>
    <pivotField dataField="1" showAll="0"/>
    <pivotField numFmtId="9" showAll="0"/>
    <pivotField showAll="0"/>
  </pivotFields>
  <rowFields count="1">
    <field x="3"/>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B792674-3BC3-4743-94C3-59A595FC4079}" name="PivotTable15"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0:B55" firstHeaderRow="1" firstDataRow="1" firstDataCol="1"/>
  <pivotFields count="10">
    <pivotField numFmtId="14" showAll="0"/>
    <pivotField showAll="0"/>
    <pivotField numFmtId="1" showAll="0"/>
    <pivotField axis="axisRow" showAll="0">
      <items count="5">
        <item x="0"/>
        <item x="2"/>
        <item x="3"/>
        <item x="1"/>
        <item t="default"/>
      </items>
    </pivotField>
    <pivotField showAll="0"/>
    <pivotField showAll="0"/>
    <pivotField showAll="0"/>
    <pivotField showAll="0"/>
    <pivotField numFmtId="9" showAll="0"/>
    <pivotField dataField="1" showAll="0"/>
  </pivotFields>
  <rowFields count="1">
    <field x="3"/>
  </rowFields>
  <rowItems count="5">
    <i>
      <x/>
    </i>
    <i>
      <x v="1"/>
    </i>
    <i>
      <x v="2"/>
    </i>
    <i>
      <x v="3"/>
    </i>
    <i t="grand">
      <x/>
    </i>
  </rowItems>
  <colItems count="1">
    <i/>
  </colItems>
  <dataFields count="1">
    <dataField name="Sum of Profit" fld="9"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F26C83-C4FA-48A6-80C3-C2FFF0A4D7E2}" name="PivotTable13" cacheId="3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B45" firstHeaderRow="1" firstDataRow="1" firstDataCol="1"/>
  <pivotFields count="10">
    <pivotField numFmtId="14" showAll="0"/>
    <pivotField showAll="0"/>
    <pivotField numFmtId="1" showAll="0"/>
    <pivotField axis="axisRow" showAll="0">
      <items count="5">
        <item x="0"/>
        <item x="2"/>
        <item x="3"/>
        <item x="1"/>
        <item t="default"/>
      </items>
    </pivotField>
    <pivotField showAll="0"/>
    <pivotField showAll="0"/>
    <pivotField showAll="0"/>
    <pivotField dataField="1" showAll="0"/>
    <pivotField numFmtId="9" showAll="0"/>
    <pivotField showAll="0"/>
  </pivotFields>
  <rowFields count="1">
    <field x="3"/>
  </rowFields>
  <rowItems count="5">
    <i>
      <x/>
    </i>
    <i>
      <x v="1"/>
    </i>
    <i>
      <x v="2"/>
    </i>
    <i>
      <x v="3"/>
    </i>
    <i t="grand">
      <x/>
    </i>
  </rowItems>
  <colItems count="1">
    <i/>
  </colItems>
  <dataFields count="1">
    <dataField name="Average of Revenue" fld="7" subtotal="average"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5F22FDD-CB41-467A-AFB6-85142331A45D}" name="PivotTable12" cacheId="36"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9:C32" firstHeaderRow="1" firstDataRow="2" firstDataCol="1"/>
  <pivotFields count="10">
    <pivotField numFmtId="14" showAll="0">
      <items count="21">
        <item x="0"/>
        <item x="1"/>
        <item x="2"/>
        <item x="3"/>
        <item x="4"/>
        <item x="5"/>
        <item x="6"/>
        <item x="7"/>
        <item x="8"/>
        <item x="9"/>
        <item x="10"/>
        <item x="11"/>
        <item x="12"/>
        <item x="13"/>
        <item x="14"/>
        <item x="15"/>
        <item x="16"/>
        <item x="17"/>
        <item x="18"/>
        <item x="19"/>
        <item t="default"/>
      </items>
    </pivotField>
    <pivotField axis="axisRow" showAll="0">
      <items count="2">
        <item x="0"/>
        <item t="default"/>
      </items>
    </pivotField>
    <pivotField axis="axisCol" numFmtId="1" showAll="0">
      <items count="2">
        <item x="0"/>
        <item t="default"/>
      </items>
    </pivotField>
    <pivotField showAll="0"/>
    <pivotField showAll="0"/>
    <pivotField showAll="0"/>
    <pivotField showAll="0"/>
    <pivotField dataField="1" showAll="0"/>
    <pivotField numFmtId="9" showAll="0"/>
    <pivotField showAll="0"/>
  </pivotFields>
  <rowFields count="1">
    <field x="1"/>
  </rowFields>
  <rowItems count="2">
    <i>
      <x/>
    </i>
    <i t="grand">
      <x/>
    </i>
  </rowItems>
  <colFields count="1">
    <field x="2"/>
  </colFields>
  <colItems count="2">
    <i>
      <x/>
    </i>
    <i t="grand">
      <x/>
    </i>
  </colItems>
  <dataFields count="1">
    <dataField name="Sum of Revenue" fld="7" baseField="0" baseItem="0"/>
  </dataFields>
  <pivotTableStyleInfo name="PivotStyleLight16" showRowHeaders="1" showColHeaders="1" showRowStripes="0" showColStripes="0" showLastColumn="1"/>
  <filters count="1">
    <filter fld="0" type="dateBetween" evalOrder="-1" id="6" name="Date">
      <autoFilter ref="A1">
        <filterColumn colId="0">
          <customFilters and="1">
            <customFilter operator="greaterThanOrEqual" val="45292"/>
            <customFilter operator="lessThanOrEqual" val="45322"/>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E06E7D3-A5BB-4215-853A-19EF6AD1D116}" name="PivotTable3"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A22" firstHeaderRow="1" firstDataRow="1" firstDataCol="1"/>
  <pivotFields count="8">
    <pivotField numFmtId="14" showAll="0"/>
    <pivotField showAll="0"/>
    <pivotField axis="axisRow" showAll="0">
      <items count="5">
        <item x="2"/>
        <item x="3"/>
        <item x="1"/>
        <item x="0"/>
        <item t="default"/>
      </items>
    </pivotField>
    <pivotField showAll="0"/>
    <pivotField showAll="0"/>
    <pivotField showAll="0"/>
    <pivotField numFmtId="9" showAll="0"/>
    <pivotField showAll="0"/>
  </pivotFields>
  <rowFields count="1">
    <field x="2"/>
  </rowFields>
  <rowItems count="5">
    <i>
      <x/>
    </i>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627BDA7-DE6A-4524-9C35-922C09BFFF7E}" name="PivotTable1" cacheId="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B11" firstHeaderRow="1" firstDataRow="1" firstDataCol="1"/>
  <pivotFields count="8">
    <pivotField numFmtId="14" showAll="0"/>
    <pivotField axis="axisRow" showAll="0">
      <items count="5">
        <item x="0"/>
        <item x="2"/>
        <item x="3"/>
        <item x="1"/>
        <item t="default"/>
      </items>
    </pivotField>
    <pivotField showAll="0"/>
    <pivotField showAll="0"/>
    <pivotField showAll="0"/>
    <pivotField dataField="1" showAll="0"/>
    <pivotField numFmtId="9" showAll="0"/>
    <pivotField showAll="0"/>
  </pivotFields>
  <rowFields count="1">
    <field x="1"/>
  </rowFields>
  <rowItems count="5">
    <i>
      <x/>
    </i>
    <i>
      <x v="1"/>
    </i>
    <i>
      <x v="2"/>
    </i>
    <i>
      <x v="3"/>
    </i>
    <i t="grand">
      <x/>
    </i>
  </rowItems>
  <colItems count="1">
    <i/>
  </colItems>
  <dataFields count="1">
    <dataField name="Sum of Revenue"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0818788F-6833-465A-96F4-0B153A87A9C7}" sourceName="Salesperson">
  <pivotTables>
    <pivotTable tabId="2" name="PivotTable3"/>
  </pivotTables>
  <data>
    <tabular pivotCacheId="1641345592">
      <items count="4">
        <i x="2" s="1"/>
        <i x="3" s="1"/>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EF3A88F9-636D-4F32-9D78-395BB6836675}" cache="Slicer_Salesperson" caption="Salesperson" rowHeight="241300"/>
</slicers>
</file>

<file path=xl/theme/theme1.xml><?xml version="1.0" encoding="utf-8"?>
<a:theme xmlns:a="http://schemas.openxmlformats.org/drawingml/2006/main" name="Wisp">
  <a:themeElements>
    <a:clrScheme name="Wisp">
      <a:dk1>
        <a:sysClr val="windowText" lastClr="000000"/>
      </a:dk1>
      <a:lt1>
        <a:sysClr val="window" lastClr="FFFFFF"/>
      </a:lt1>
      <a:dk2>
        <a:srgbClr val="766F54"/>
      </a:dk2>
      <a:lt2>
        <a:srgbClr val="E3EACF"/>
      </a:lt2>
      <a:accent1>
        <a:srgbClr val="A53010"/>
      </a:accent1>
      <a:accent2>
        <a:srgbClr val="DE7E18"/>
      </a:accent2>
      <a:accent3>
        <a:srgbClr val="9F8351"/>
      </a:accent3>
      <a:accent4>
        <a:srgbClr val="728653"/>
      </a:accent4>
      <a:accent5>
        <a:srgbClr val="92AA4C"/>
      </a:accent5>
      <a:accent6>
        <a:srgbClr val="6AAC91"/>
      </a:accent6>
      <a:hlink>
        <a:srgbClr val="FB4A18"/>
      </a:hlink>
      <a:folHlink>
        <a:srgbClr val="FB9318"/>
      </a:folHlink>
    </a:clrScheme>
    <a:fontScheme name="Wisp">
      <a:maj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entury Gothic" panose="020B0502020202020204"/>
        <a:ea typeface=""/>
        <a:cs typeface=""/>
        <a:font script="Jpan" typeface="メイリオ"/>
        <a:font script="Hang" typeface="HY중고딕"/>
        <a:font script="Hans" typeface="幼圆"/>
        <a:font script="Hant" typeface="微軟正黑體"/>
        <a:font script="Arab" typeface="Tahoma"/>
        <a:font script="Hebr" typeface="Gisha"/>
        <a:font script="Thai" typeface="Dillen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Wisp">
      <a:fillStyleLst>
        <a:solidFill>
          <a:schemeClr val="phClr"/>
        </a:solidFill>
        <a:solidFill>
          <a:schemeClr val="phClr">
            <a:tint val="70000"/>
            <a:lumMod val="104000"/>
          </a:schemeClr>
        </a:solidFill>
        <a:gradFill rotWithShape="1">
          <a:gsLst>
            <a:gs pos="0">
              <a:schemeClr val="phClr">
                <a:tint val="96000"/>
                <a:lumMod val="104000"/>
              </a:schemeClr>
            </a:gs>
            <a:gs pos="100000">
              <a:schemeClr val="phClr">
                <a:shade val="98000"/>
                <a:lumMod val="94000"/>
              </a:schemeClr>
            </a:gs>
          </a:gsLst>
          <a:lin ang="5400000" scaled="0"/>
        </a:gradFill>
      </a:fillStyleLst>
      <a:lnStyleLst>
        <a:ln w="9525" cap="rnd" cmpd="sng" algn="ctr">
          <a:solidFill>
            <a:schemeClr val="phClr">
              <a:shade val="90000"/>
            </a:schemeClr>
          </a:solidFill>
          <a:prstDash val="solid"/>
        </a:ln>
        <a:ln w="15875" cap="rnd" cmpd="sng" algn="ctr">
          <a:solidFill>
            <a:schemeClr val="phClr"/>
          </a:solidFill>
          <a:prstDash val="solid"/>
        </a:ln>
        <a:ln w="22225" cap="rnd" cmpd="sng" algn="ctr">
          <a:solidFill>
            <a:schemeClr val="phClr"/>
          </a:solidFill>
          <a:prstDash val="solid"/>
        </a:ln>
      </a:lnStyleLst>
      <a:effectStyleLst>
        <a:effectStyle>
          <a:effectLst/>
        </a:effectStyle>
        <a:effectStyle>
          <a:effectLst>
            <a:outerShdw blurRad="38100" dist="25400" dir="5400000" rotWithShape="0">
              <a:srgbClr val="000000">
                <a:alpha val="25000"/>
              </a:srgbClr>
            </a:outerShdw>
          </a:effectLst>
        </a:effectStyle>
        <a:effectStyle>
          <a:effectLst>
            <a:outerShdw blurRad="50800" dist="38100" dir="5400000" rotWithShape="0">
              <a:srgbClr val="000000">
                <a:alpha val="60000"/>
              </a:srgbClr>
            </a:outerShdw>
          </a:effectLst>
        </a:effectStyle>
      </a:effectStyleLst>
      <a:bgFillStyleLst>
        <a:solidFill>
          <a:schemeClr val="phClr"/>
        </a:solidFill>
        <a:gradFill rotWithShape="1">
          <a:gsLst>
            <a:gs pos="0">
              <a:schemeClr val="phClr">
                <a:tint val="90000"/>
                <a:lumMod val="120000"/>
              </a:schemeClr>
            </a:gs>
            <a:gs pos="100000">
              <a:schemeClr val="phClr">
                <a:shade val="98000"/>
                <a:satMod val="120000"/>
                <a:lumMod val="98000"/>
              </a:schemeClr>
            </a:gs>
          </a:gsLst>
          <a:lin ang="5400000" scaled="0"/>
        </a:gradFill>
        <a:gradFill rotWithShape="1">
          <a:gsLst>
            <a:gs pos="0">
              <a:schemeClr val="phClr">
                <a:tint val="90000"/>
                <a:satMod val="92000"/>
                <a:lumMod val="120000"/>
              </a:schemeClr>
            </a:gs>
            <a:gs pos="100000">
              <a:schemeClr val="phClr">
                <a:shade val="98000"/>
                <a:satMod val="120000"/>
                <a:lumMod val="98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Wisp" id="{7CB32D59-10C0-40DD-B7BD-2E94284A981C}" vid="{24B1A44C-C006-48B2-A4D7-E5549B3D8CD4}"/>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3B69553-CB0C-4597-833A-A5671EC65195}" sourceName="Date">
  <pivotTables>
    <pivotTable tabId="1" name="PivotTable4"/>
  </pivotTables>
  <state minimalRefreshVersion="6" lastRefreshVersion="6" pivotCacheId="1641345592" filterType="dateBetween">
    <selection startDate="2024-01-01T00:00:00" endDate="2024-01-31T00:00:00"/>
    <bounds startDate="2024-01-01T00:00:00" endDate="2025-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1" xr10:uid="{4E0D1CC6-EDA1-4338-8A70-76DE2B48B7DE}" sourceName="Date">
  <pivotTables>
    <pivotTable tabId="2" name="PivotTable12"/>
  </pivotTables>
  <state minimalRefreshVersion="6" lastRefreshVersion="6" pivotCacheId="1588345406" filterType="dateBetween">
    <selection startDate="2024-01-01T00:00:00" endDate="2024-01-31T00:00:00"/>
    <bounds startDate="2024-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92E383D-A2EE-45E5-A270-F594B0E42F4C}" cache="NativeTimeline_Date" caption="Date" level="2" selectionLevel="2" scrollPosition="2024-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0F2E3CAB-11CB-4796-A78B-DD6538B05478}" cache="NativeTimeline_Date1" caption="Date" level="2" selectionLevel="2" scrollPosition="2024-01-01T00:00:00"/>
</timeline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microsoft.com/office/2011/relationships/timeline" Target="../timelines/timeline1.x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5.xml"/><Relationship Id="rId7" Type="http://schemas.microsoft.com/office/2007/relationships/slicer" Target="../slicers/slicer1.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4BF1-600E-4CAC-BC54-C170D1CCE428}">
  <dimension ref="A1:M48"/>
  <sheetViews>
    <sheetView zoomScaleNormal="100" workbookViewId="0">
      <selection sqref="A1:J21"/>
    </sheetView>
  </sheetViews>
  <sheetFormatPr defaultRowHeight="13.5" x14ac:dyDescent="0.25"/>
  <cols>
    <col min="1" max="1" width="15.5" customWidth="1"/>
    <col min="2" max="2" width="6.25" customWidth="1"/>
    <col min="3" max="3" width="8.83203125" style="16" customWidth="1"/>
    <col min="4" max="6" width="15.5" customWidth="1"/>
    <col min="7" max="7" width="11.75" customWidth="1"/>
    <col min="8" max="10" width="15.5" customWidth="1"/>
    <col min="12" max="12" width="13.4140625" customWidth="1"/>
    <col min="13" max="13" width="15.58203125" customWidth="1"/>
  </cols>
  <sheetData>
    <row r="1" spans="1:13" ht="14.5" thickBot="1" x14ac:dyDescent="0.35">
      <c r="A1" s="1" t="s">
        <v>0</v>
      </c>
      <c r="B1" s="1" t="s">
        <v>36</v>
      </c>
      <c r="C1" s="14" t="s">
        <v>38</v>
      </c>
      <c r="D1" s="1" t="s">
        <v>1</v>
      </c>
      <c r="E1" s="1" t="s">
        <v>2</v>
      </c>
      <c r="F1" s="1" t="s">
        <v>3</v>
      </c>
      <c r="G1" s="1" t="s">
        <v>4</v>
      </c>
      <c r="H1" s="1" t="s">
        <v>5</v>
      </c>
      <c r="I1" s="1" t="s">
        <v>6</v>
      </c>
      <c r="J1" s="1" t="s">
        <v>7</v>
      </c>
    </row>
    <row r="2" spans="1:13" ht="14" thickBot="1" x14ac:dyDescent="0.3">
      <c r="A2" s="3">
        <v>45292</v>
      </c>
      <c r="B2" s="3" t="str">
        <f>TEXT(A2,"MMM")</f>
        <v>Jan</v>
      </c>
      <c r="C2" s="15">
        <v>2024</v>
      </c>
      <c r="D2" s="4" t="s">
        <v>9</v>
      </c>
      <c r="E2" s="4" t="s">
        <v>10</v>
      </c>
      <c r="F2" s="4" t="s">
        <v>11</v>
      </c>
      <c r="G2" s="5">
        <v>5</v>
      </c>
      <c r="H2" s="5">
        <v>5000</v>
      </c>
      <c r="I2" s="6">
        <v>0.1</v>
      </c>
      <c r="J2" s="5">
        <v>1000</v>
      </c>
    </row>
    <row r="3" spans="1:13" ht="14" thickBot="1" x14ac:dyDescent="0.3">
      <c r="A3" s="3">
        <v>45293</v>
      </c>
      <c r="B3" s="3" t="str">
        <f t="shared" ref="B3:B21" si="0">TEXT(A3,"MMM")</f>
        <v>Jan</v>
      </c>
      <c r="C3" s="15">
        <v>2024</v>
      </c>
      <c r="D3" s="4" t="s">
        <v>14</v>
      </c>
      <c r="E3" s="4" t="s">
        <v>15</v>
      </c>
      <c r="F3" s="4" t="s">
        <v>16</v>
      </c>
      <c r="G3" s="5">
        <v>10</v>
      </c>
      <c r="H3" s="5">
        <v>7000</v>
      </c>
      <c r="I3" s="6">
        <v>0.05</v>
      </c>
      <c r="J3" s="5">
        <v>1500</v>
      </c>
    </row>
    <row r="4" spans="1:13" ht="14" thickBot="1" x14ac:dyDescent="0.3">
      <c r="A4" s="3">
        <v>45294</v>
      </c>
      <c r="B4" s="3" t="str">
        <f t="shared" si="0"/>
        <v>Jan</v>
      </c>
      <c r="C4" s="15">
        <v>2024</v>
      </c>
      <c r="D4" s="4" t="s">
        <v>17</v>
      </c>
      <c r="E4" s="4" t="s">
        <v>18</v>
      </c>
      <c r="F4" s="4" t="s">
        <v>19</v>
      </c>
      <c r="G4" s="5">
        <v>8</v>
      </c>
      <c r="H4" s="5">
        <v>4000</v>
      </c>
      <c r="I4" s="6">
        <v>0.08</v>
      </c>
      <c r="J4" s="5">
        <v>800</v>
      </c>
    </row>
    <row r="5" spans="1:13" ht="14" thickBot="1" x14ac:dyDescent="0.3">
      <c r="A5" s="3">
        <v>45295</v>
      </c>
      <c r="B5" s="3" t="str">
        <f t="shared" si="0"/>
        <v>Jan</v>
      </c>
      <c r="C5" s="15">
        <v>2024</v>
      </c>
      <c r="D5" s="4" t="s">
        <v>20</v>
      </c>
      <c r="E5" s="4" t="s">
        <v>21</v>
      </c>
      <c r="F5" s="4" t="s">
        <v>22</v>
      </c>
      <c r="G5" s="5">
        <v>6</v>
      </c>
      <c r="H5" s="5">
        <v>3000</v>
      </c>
      <c r="I5" s="6">
        <v>0.12</v>
      </c>
      <c r="J5" s="5">
        <v>600</v>
      </c>
    </row>
    <row r="6" spans="1:13" ht="14" thickBot="1" x14ac:dyDescent="0.3">
      <c r="A6" s="3">
        <v>45296</v>
      </c>
      <c r="B6" s="3" t="str">
        <f t="shared" si="0"/>
        <v>Jan</v>
      </c>
      <c r="C6" s="15">
        <v>2024</v>
      </c>
      <c r="D6" s="4" t="s">
        <v>9</v>
      </c>
      <c r="E6" s="4" t="s">
        <v>10</v>
      </c>
      <c r="F6" s="4" t="s">
        <v>16</v>
      </c>
      <c r="G6" s="5">
        <v>12</v>
      </c>
      <c r="H6" s="5">
        <v>8400</v>
      </c>
      <c r="I6" s="6">
        <v>7.0000000000000007E-2</v>
      </c>
      <c r="J6" s="5">
        <v>1800</v>
      </c>
    </row>
    <row r="7" spans="1:13" ht="14" thickBot="1" x14ac:dyDescent="0.3">
      <c r="A7" s="3">
        <v>45297</v>
      </c>
      <c r="B7" s="3" t="str">
        <f t="shared" si="0"/>
        <v>Jan</v>
      </c>
      <c r="C7" s="15">
        <v>2024</v>
      </c>
      <c r="D7" s="4" t="s">
        <v>14</v>
      </c>
      <c r="E7" s="4" t="s">
        <v>15</v>
      </c>
      <c r="F7" s="4" t="s">
        <v>11</v>
      </c>
      <c r="G7" s="5">
        <v>7</v>
      </c>
      <c r="H7" s="5">
        <v>4900</v>
      </c>
      <c r="I7" s="6">
        <v>0.06</v>
      </c>
      <c r="J7" s="5">
        <v>900</v>
      </c>
    </row>
    <row r="8" spans="1:13" ht="14" thickBot="1" x14ac:dyDescent="0.3">
      <c r="A8" s="3">
        <v>45298</v>
      </c>
      <c r="B8" s="3" t="str">
        <f t="shared" si="0"/>
        <v>Jan</v>
      </c>
      <c r="C8" s="15">
        <v>2024</v>
      </c>
      <c r="D8" s="4" t="s">
        <v>17</v>
      </c>
      <c r="E8" s="4" t="s">
        <v>18</v>
      </c>
      <c r="F8" s="4" t="s">
        <v>22</v>
      </c>
      <c r="G8" s="5">
        <v>15</v>
      </c>
      <c r="H8" s="5">
        <v>10500</v>
      </c>
      <c r="I8" s="6">
        <v>0.04</v>
      </c>
      <c r="J8" s="5">
        <v>2100</v>
      </c>
    </row>
    <row r="9" spans="1:13" ht="14.5" thickBot="1" x14ac:dyDescent="0.35">
      <c r="A9" s="3">
        <v>45299</v>
      </c>
      <c r="B9" s="3" t="str">
        <f t="shared" si="0"/>
        <v>Jan</v>
      </c>
      <c r="C9" s="15">
        <v>2024</v>
      </c>
      <c r="D9" s="4" t="s">
        <v>20</v>
      </c>
      <c r="E9" s="4" t="s">
        <v>21</v>
      </c>
      <c r="F9" s="4" t="s">
        <v>19</v>
      </c>
      <c r="G9" s="5">
        <v>9</v>
      </c>
      <c r="H9" s="5">
        <v>6200</v>
      </c>
      <c r="I9" s="6">
        <v>0.09</v>
      </c>
      <c r="J9" s="5">
        <v>1200</v>
      </c>
      <c r="L9" s="8" t="s">
        <v>24</v>
      </c>
    </row>
    <row r="10" spans="1:13" ht="14" thickBot="1" x14ac:dyDescent="0.3">
      <c r="A10" s="3">
        <v>45300</v>
      </c>
      <c r="B10" s="3" t="str">
        <f t="shared" si="0"/>
        <v>Jan</v>
      </c>
      <c r="C10" s="15">
        <v>2024</v>
      </c>
      <c r="D10" s="4" t="s">
        <v>9</v>
      </c>
      <c r="E10" s="4" t="s">
        <v>10</v>
      </c>
      <c r="F10" s="4" t="s">
        <v>11</v>
      </c>
      <c r="G10" s="5">
        <v>4</v>
      </c>
      <c r="H10" s="5">
        <v>2800</v>
      </c>
      <c r="I10" s="6">
        <v>0.1</v>
      </c>
      <c r="J10" s="5">
        <v>400</v>
      </c>
      <c r="L10" t="s">
        <v>12</v>
      </c>
      <c r="M10" t="s">
        <v>13</v>
      </c>
    </row>
    <row r="11" spans="1:13" ht="14" thickBot="1" x14ac:dyDescent="0.3">
      <c r="A11" s="3">
        <v>45301</v>
      </c>
      <c r="B11" s="3" t="str">
        <f t="shared" si="0"/>
        <v>Jan</v>
      </c>
      <c r="C11" s="15">
        <v>2024</v>
      </c>
      <c r="D11" s="4" t="s">
        <v>14</v>
      </c>
      <c r="E11" s="4" t="s">
        <v>15</v>
      </c>
      <c r="F11" s="4" t="s">
        <v>16</v>
      </c>
      <c r="G11" s="5">
        <v>11</v>
      </c>
      <c r="H11" s="5">
        <v>7700</v>
      </c>
      <c r="I11" s="6">
        <v>0.03</v>
      </c>
      <c r="J11" s="5">
        <v>1600</v>
      </c>
      <c r="L11" s="7" t="s">
        <v>11</v>
      </c>
      <c r="M11">
        <v>25000</v>
      </c>
    </row>
    <row r="12" spans="1:13" ht="14" thickBot="1" x14ac:dyDescent="0.3">
      <c r="A12" s="3">
        <v>45302</v>
      </c>
      <c r="B12" s="3" t="str">
        <f t="shared" si="0"/>
        <v>Jan</v>
      </c>
      <c r="C12" s="15">
        <v>2024</v>
      </c>
      <c r="D12" s="4" t="s">
        <v>17</v>
      </c>
      <c r="E12" s="4" t="s">
        <v>18</v>
      </c>
      <c r="F12" s="4" t="s">
        <v>19</v>
      </c>
      <c r="G12" s="5">
        <v>6</v>
      </c>
      <c r="H12" s="5">
        <v>3600</v>
      </c>
      <c r="I12" s="6">
        <v>0.05</v>
      </c>
      <c r="J12" s="5">
        <v>700</v>
      </c>
      <c r="L12" s="7" t="s">
        <v>22</v>
      </c>
      <c r="M12">
        <v>36800</v>
      </c>
    </row>
    <row r="13" spans="1:13" ht="14" thickBot="1" x14ac:dyDescent="0.3">
      <c r="A13" s="3">
        <v>45303</v>
      </c>
      <c r="B13" s="3" t="str">
        <f t="shared" si="0"/>
        <v>Jan</v>
      </c>
      <c r="C13" s="15">
        <v>2024</v>
      </c>
      <c r="D13" s="4" t="s">
        <v>20</v>
      </c>
      <c r="E13" s="4" t="s">
        <v>21</v>
      </c>
      <c r="F13" s="4" t="s">
        <v>22</v>
      </c>
      <c r="G13" s="5">
        <v>13</v>
      </c>
      <c r="H13" s="5">
        <v>9100</v>
      </c>
      <c r="I13" s="6">
        <v>7.0000000000000007E-2</v>
      </c>
      <c r="J13" s="5">
        <v>1900</v>
      </c>
      <c r="L13" s="7" t="s">
        <v>16</v>
      </c>
      <c r="M13">
        <v>36300</v>
      </c>
    </row>
    <row r="14" spans="1:13" ht="14" thickBot="1" x14ac:dyDescent="0.3">
      <c r="A14" s="3">
        <v>45304</v>
      </c>
      <c r="B14" s="3" t="str">
        <f t="shared" si="0"/>
        <v>Jan</v>
      </c>
      <c r="C14" s="15">
        <v>2024</v>
      </c>
      <c r="D14" s="4" t="s">
        <v>9</v>
      </c>
      <c r="E14" s="4" t="s">
        <v>10</v>
      </c>
      <c r="F14" s="4" t="s">
        <v>16</v>
      </c>
      <c r="G14" s="5">
        <v>10</v>
      </c>
      <c r="H14" s="5">
        <v>8000</v>
      </c>
      <c r="I14" s="6">
        <v>0.06</v>
      </c>
      <c r="J14" s="5">
        <v>1500</v>
      </c>
      <c r="L14" s="7" t="s">
        <v>19</v>
      </c>
      <c r="M14">
        <v>26300</v>
      </c>
    </row>
    <row r="15" spans="1:13" ht="14" thickBot="1" x14ac:dyDescent="0.3">
      <c r="A15" s="3">
        <v>45305</v>
      </c>
      <c r="B15" s="3" t="str">
        <f t="shared" si="0"/>
        <v>Jan</v>
      </c>
      <c r="C15" s="15">
        <v>2024</v>
      </c>
      <c r="D15" s="4" t="s">
        <v>14</v>
      </c>
      <c r="E15" s="4" t="s">
        <v>15</v>
      </c>
      <c r="F15" s="4" t="s">
        <v>11</v>
      </c>
      <c r="G15" s="5">
        <v>8</v>
      </c>
      <c r="H15" s="5">
        <v>4800</v>
      </c>
      <c r="I15" s="6">
        <v>0.08</v>
      </c>
      <c r="J15" s="5">
        <v>900</v>
      </c>
      <c r="L15" s="7" t="s">
        <v>23</v>
      </c>
      <c r="M15">
        <v>124400</v>
      </c>
    </row>
    <row r="16" spans="1:13" ht="14" thickBot="1" x14ac:dyDescent="0.3">
      <c r="A16" s="3">
        <v>45306</v>
      </c>
      <c r="B16" s="3" t="str">
        <f t="shared" si="0"/>
        <v>Jan</v>
      </c>
      <c r="C16" s="15">
        <v>2024</v>
      </c>
      <c r="D16" s="4" t="s">
        <v>17</v>
      </c>
      <c r="E16" s="4" t="s">
        <v>18</v>
      </c>
      <c r="F16" s="4" t="s">
        <v>22</v>
      </c>
      <c r="G16" s="5">
        <v>14</v>
      </c>
      <c r="H16" s="5">
        <v>9900</v>
      </c>
      <c r="I16" s="6">
        <v>0.04</v>
      </c>
      <c r="J16" s="5">
        <v>2200</v>
      </c>
    </row>
    <row r="17" spans="1:13" ht="14" thickBot="1" x14ac:dyDescent="0.3">
      <c r="A17" s="3">
        <v>45307</v>
      </c>
      <c r="B17" s="3" t="str">
        <f t="shared" si="0"/>
        <v>Jan</v>
      </c>
      <c r="C17" s="15">
        <v>2024</v>
      </c>
      <c r="D17" s="4" t="s">
        <v>20</v>
      </c>
      <c r="E17" s="4" t="s">
        <v>21</v>
      </c>
      <c r="F17" s="4" t="s">
        <v>19</v>
      </c>
      <c r="G17" s="5">
        <v>9</v>
      </c>
      <c r="H17" s="5">
        <v>5700</v>
      </c>
      <c r="I17" s="6">
        <v>0.11</v>
      </c>
      <c r="J17" s="5">
        <v>1100</v>
      </c>
    </row>
    <row r="18" spans="1:13" ht="14" thickBot="1" x14ac:dyDescent="0.3">
      <c r="A18" s="3">
        <v>45308</v>
      </c>
      <c r="B18" s="3" t="str">
        <f t="shared" si="0"/>
        <v>Jan</v>
      </c>
      <c r="C18" s="15">
        <v>2024</v>
      </c>
      <c r="D18" s="4" t="s">
        <v>9</v>
      </c>
      <c r="E18" s="4" t="s">
        <v>10</v>
      </c>
      <c r="F18" s="4" t="s">
        <v>11</v>
      </c>
      <c r="G18" s="5">
        <v>12</v>
      </c>
      <c r="H18" s="5">
        <v>7500</v>
      </c>
      <c r="I18" s="6">
        <v>0.09</v>
      </c>
      <c r="J18" s="5">
        <v>1400</v>
      </c>
    </row>
    <row r="19" spans="1:13" ht="14" thickBot="1" x14ac:dyDescent="0.3">
      <c r="A19" s="3">
        <v>45309</v>
      </c>
      <c r="B19" s="3" t="str">
        <f t="shared" si="0"/>
        <v>Jan</v>
      </c>
      <c r="C19" s="15">
        <v>2024</v>
      </c>
      <c r="D19" s="4" t="s">
        <v>14</v>
      </c>
      <c r="E19" s="4" t="s">
        <v>15</v>
      </c>
      <c r="F19" s="4" t="s">
        <v>16</v>
      </c>
      <c r="G19" s="5">
        <v>7</v>
      </c>
      <c r="H19" s="5">
        <v>5200</v>
      </c>
      <c r="I19" s="6">
        <v>0.06</v>
      </c>
      <c r="J19" s="5">
        <v>1000</v>
      </c>
    </row>
    <row r="20" spans="1:13" ht="14" thickBot="1" x14ac:dyDescent="0.3">
      <c r="A20" s="3">
        <v>45310</v>
      </c>
      <c r="B20" s="3" t="str">
        <f t="shared" si="0"/>
        <v>Jan</v>
      </c>
      <c r="C20" s="15">
        <v>2024</v>
      </c>
      <c r="D20" s="4" t="s">
        <v>17</v>
      </c>
      <c r="E20" s="4" t="s">
        <v>18</v>
      </c>
      <c r="F20" s="4" t="s">
        <v>19</v>
      </c>
      <c r="G20" s="5">
        <v>11</v>
      </c>
      <c r="H20" s="5">
        <v>6800</v>
      </c>
      <c r="I20" s="6">
        <v>0.05</v>
      </c>
      <c r="J20" s="5">
        <v>1300</v>
      </c>
    </row>
    <row r="21" spans="1:13" ht="14" thickBot="1" x14ac:dyDescent="0.3">
      <c r="A21" s="3">
        <v>45311</v>
      </c>
      <c r="B21" s="3" t="str">
        <f t="shared" si="0"/>
        <v>Jan</v>
      </c>
      <c r="C21" s="15">
        <v>2024</v>
      </c>
      <c r="D21" s="4" t="s">
        <v>20</v>
      </c>
      <c r="E21" s="4" t="s">
        <v>21</v>
      </c>
      <c r="F21" s="4" t="s">
        <v>22</v>
      </c>
      <c r="G21" s="5">
        <v>5</v>
      </c>
      <c r="H21" s="5">
        <v>4300</v>
      </c>
      <c r="I21" s="6">
        <v>7.0000000000000007E-2</v>
      </c>
      <c r="J21" s="5">
        <v>850</v>
      </c>
    </row>
    <row r="26" spans="1:13" ht="14" x14ac:dyDescent="0.3">
      <c r="L26" s="8" t="s">
        <v>26</v>
      </c>
    </row>
    <row r="27" spans="1:13" x14ac:dyDescent="0.25">
      <c r="L27" t="s">
        <v>12</v>
      </c>
      <c r="M27" t="s">
        <v>13</v>
      </c>
    </row>
    <row r="28" spans="1:13" x14ac:dyDescent="0.25">
      <c r="L28" s="9">
        <v>45292</v>
      </c>
      <c r="M28">
        <v>5000</v>
      </c>
    </row>
    <row r="29" spans="1:13" x14ac:dyDescent="0.25">
      <c r="L29" s="9">
        <v>45293</v>
      </c>
      <c r="M29">
        <v>7000</v>
      </c>
    </row>
    <row r="30" spans="1:13" x14ac:dyDescent="0.25">
      <c r="L30" s="9">
        <v>45294</v>
      </c>
      <c r="M30">
        <v>4000</v>
      </c>
    </row>
    <row r="31" spans="1:13" x14ac:dyDescent="0.25">
      <c r="L31" s="9">
        <v>45295</v>
      </c>
      <c r="M31">
        <v>3000</v>
      </c>
    </row>
    <row r="32" spans="1:13" x14ac:dyDescent="0.25">
      <c r="L32" s="9">
        <v>45296</v>
      </c>
      <c r="M32">
        <v>8400</v>
      </c>
    </row>
    <row r="33" spans="12:13" x14ac:dyDescent="0.25">
      <c r="L33" s="9">
        <v>45297</v>
      </c>
      <c r="M33">
        <v>4900</v>
      </c>
    </row>
    <row r="34" spans="12:13" x14ac:dyDescent="0.25">
      <c r="L34" s="9">
        <v>45298</v>
      </c>
      <c r="M34">
        <v>10500</v>
      </c>
    </row>
    <row r="35" spans="12:13" x14ac:dyDescent="0.25">
      <c r="L35" s="9">
        <v>45299</v>
      </c>
      <c r="M35">
        <v>6200</v>
      </c>
    </row>
    <row r="36" spans="12:13" x14ac:dyDescent="0.25">
      <c r="L36" s="9">
        <v>45300</v>
      </c>
      <c r="M36">
        <v>2800</v>
      </c>
    </row>
    <row r="37" spans="12:13" x14ac:dyDescent="0.25">
      <c r="L37" s="9">
        <v>45301</v>
      </c>
      <c r="M37">
        <v>7700</v>
      </c>
    </row>
    <row r="38" spans="12:13" x14ac:dyDescent="0.25">
      <c r="L38" s="9">
        <v>45302</v>
      </c>
      <c r="M38">
        <v>3600</v>
      </c>
    </row>
    <row r="39" spans="12:13" x14ac:dyDescent="0.25">
      <c r="L39" s="9">
        <v>45303</v>
      </c>
      <c r="M39">
        <v>9100</v>
      </c>
    </row>
    <row r="40" spans="12:13" x14ac:dyDescent="0.25">
      <c r="L40" s="9">
        <v>45304</v>
      </c>
      <c r="M40">
        <v>8000</v>
      </c>
    </row>
    <row r="41" spans="12:13" x14ac:dyDescent="0.25">
      <c r="L41" s="9">
        <v>45305</v>
      </c>
      <c r="M41">
        <v>4800</v>
      </c>
    </row>
    <row r="42" spans="12:13" x14ac:dyDescent="0.25">
      <c r="L42" s="9">
        <v>45306</v>
      </c>
      <c r="M42">
        <v>9900</v>
      </c>
    </row>
    <row r="43" spans="12:13" x14ac:dyDescent="0.25">
      <c r="L43" s="9">
        <v>45307</v>
      </c>
      <c r="M43">
        <v>5700</v>
      </c>
    </row>
    <row r="44" spans="12:13" x14ac:dyDescent="0.25">
      <c r="L44" s="9">
        <v>45308</v>
      </c>
      <c r="M44">
        <v>7500</v>
      </c>
    </row>
    <row r="45" spans="12:13" x14ac:dyDescent="0.25">
      <c r="L45" s="9">
        <v>45309</v>
      </c>
      <c r="M45">
        <v>5200</v>
      </c>
    </row>
    <row r="46" spans="12:13" x14ac:dyDescent="0.25">
      <c r="L46" s="9">
        <v>45310</v>
      </c>
      <c r="M46">
        <v>6800</v>
      </c>
    </row>
    <row r="47" spans="12:13" x14ac:dyDescent="0.25">
      <c r="L47" s="9">
        <v>45311</v>
      </c>
      <c r="M47">
        <v>4300</v>
      </c>
    </row>
    <row r="48" spans="12:13" x14ac:dyDescent="0.25">
      <c r="L48" s="9" t="s">
        <v>23</v>
      </c>
      <c r="M48">
        <v>124400</v>
      </c>
    </row>
  </sheetData>
  <pageMargins left="0.7" right="0.7" top="0.75" bottom="0.75" header="0.3" footer="0.3"/>
  <pageSetup orientation="portrait" r:id="rId3"/>
  <drawing r:id="rId4"/>
  <extLs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068C1-075B-42E1-B928-585B942FFF60}">
  <dimension ref="A1:K60"/>
  <sheetViews>
    <sheetView tabSelected="1" topLeftCell="A46" workbookViewId="0">
      <selection activeCell="A59" sqref="A59"/>
    </sheetView>
  </sheetViews>
  <sheetFormatPr defaultRowHeight="13.5" x14ac:dyDescent="0.25"/>
  <cols>
    <col min="1" max="1" width="12.33203125" customWidth="1"/>
    <col min="2" max="2" width="11.75" customWidth="1"/>
    <col min="3" max="3" width="10.6640625" customWidth="1"/>
    <col min="4" max="4" width="14.33203125" customWidth="1"/>
    <col min="15" max="15" width="12.83203125" bestFit="1" customWidth="1"/>
    <col min="16" max="16" width="15" bestFit="1" customWidth="1"/>
  </cols>
  <sheetData>
    <row r="1" spans="1:8" s="13" customFormat="1" ht="24.5" x14ac:dyDescent="0.45">
      <c r="A1" s="18" t="s">
        <v>31</v>
      </c>
      <c r="B1" s="18"/>
      <c r="C1" s="18"/>
      <c r="D1" s="18"/>
      <c r="E1" s="18"/>
      <c r="F1" s="18"/>
      <c r="G1" s="18"/>
      <c r="H1" s="18"/>
    </row>
    <row r="2" spans="1:8" s="10" customFormat="1" ht="14" x14ac:dyDescent="0.3">
      <c r="A2" s="10" t="s">
        <v>29</v>
      </c>
    </row>
    <row r="3" spans="1:8" s="10" customFormat="1" ht="14" x14ac:dyDescent="0.3">
      <c r="A3" s="10" t="s">
        <v>30</v>
      </c>
    </row>
    <row r="4" spans="1:8" ht="14" x14ac:dyDescent="0.3">
      <c r="B4" s="10"/>
    </row>
    <row r="5" spans="1:8" ht="14" x14ac:dyDescent="0.3">
      <c r="A5" s="2" t="s">
        <v>8</v>
      </c>
    </row>
    <row r="6" spans="1:8" x14ac:dyDescent="0.25">
      <c r="A6" t="s">
        <v>12</v>
      </c>
      <c r="B6" t="s">
        <v>13</v>
      </c>
    </row>
    <row r="7" spans="1:8" x14ac:dyDescent="0.25">
      <c r="A7" s="7" t="s">
        <v>9</v>
      </c>
      <c r="B7">
        <v>31700</v>
      </c>
    </row>
    <row r="8" spans="1:8" x14ac:dyDescent="0.25">
      <c r="A8" s="7" t="s">
        <v>17</v>
      </c>
      <c r="B8">
        <v>34800</v>
      </c>
    </row>
    <row r="9" spans="1:8" x14ac:dyDescent="0.25">
      <c r="A9" s="7" t="s">
        <v>20</v>
      </c>
      <c r="B9">
        <v>28300</v>
      </c>
    </row>
    <row r="10" spans="1:8" x14ac:dyDescent="0.25">
      <c r="A10" s="7" t="s">
        <v>14</v>
      </c>
      <c r="B10">
        <v>29600</v>
      </c>
    </row>
    <row r="11" spans="1:8" x14ac:dyDescent="0.25">
      <c r="A11" s="7" t="s">
        <v>23</v>
      </c>
      <c r="B11">
        <v>124400</v>
      </c>
    </row>
    <row r="12" spans="1:8" ht="14" x14ac:dyDescent="0.3">
      <c r="B12" s="10"/>
    </row>
    <row r="13" spans="1:8" s="10" customFormat="1" ht="14" x14ac:dyDescent="0.3">
      <c r="A13" s="10" t="s">
        <v>32</v>
      </c>
    </row>
    <row r="14" spans="1:8" s="10" customFormat="1" ht="14" x14ac:dyDescent="0.3">
      <c r="A14" s="10" t="s">
        <v>33</v>
      </c>
    </row>
    <row r="16" spans="1:8" ht="14" x14ac:dyDescent="0.3">
      <c r="A16" s="8" t="s">
        <v>25</v>
      </c>
    </row>
    <row r="17" spans="1:3" x14ac:dyDescent="0.25">
      <c r="A17" s="11" t="s">
        <v>12</v>
      </c>
    </row>
    <row r="18" spans="1:3" x14ac:dyDescent="0.25">
      <c r="A18" s="7" t="s">
        <v>18</v>
      </c>
    </row>
    <row r="19" spans="1:3" x14ac:dyDescent="0.25">
      <c r="A19" s="7" t="s">
        <v>21</v>
      </c>
    </row>
    <row r="20" spans="1:3" x14ac:dyDescent="0.25">
      <c r="A20" s="7" t="s">
        <v>15</v>
      </c>
    </row>
    <row r="21" spans="1:3" x14ac:dyDescent="0.25">
      <c r="A21" s="7" t="s">
        <v>10</v>
      </c>
    </row>
    <row r="22" spans="1:3" x14ac:dyDescent="0.25">
      <c r="A22" s="7" t="s">
        <v>23</v>
      </c>
    </row>
    <row r="23" spans="1:3" x14ac:dyDescent="0.25">
      <c r="A23" s="7"/>
    </row>
    <row r="24" spans="1:3" x14ac:dyDescent="0.25">
      <c r="A24" s="7"/>
    </row>
    <row r="25" spans="1:3" x14ac:dyDescent="0.25">
      <c r="A25" s="7"/>
    </row>
    <row r="26" spans="1:3" s="10" customFormat="1" ht="14" x14ac:dyDescent="0.3">
      <c r="A26" s="10" t="s">
        <v>34</v>
      </c>
    </row>
    <row r="27" spans="1:3" s="10" customFormat="1" ht="14" x14ac:dyDescent="0.3">
      <c r="A27" s="10" t="s">
        <v>35</v>
      </c>
    </row>
    <row r="29" spans="1:3" x14ac:dyDescent="0.25">
      <c r="A29" s="11" t="s">
        <v>13</v>
      </c>
      <c r="B29" s="11" t="s">
        <v>39</v>
      </c>
    </row>
    <row r="30" spans="1:3" x14ac:dyDescent="0.25">
      <c r="A30" s="11" t="s">
        <v>12</v>
      </c>
      <c r="B30" s="16">
        <v>2024</v>
      </c>
      <c r="C30" s="16" t="s">
        <v>23</v>
      </c>
    </row>
    <row r="31" spans="1:3" x14ac:dyDescent="0.25">
      <c r="A31" s="7" t="s">
        <v>37</v>
      </c>
      <c r="B31" s="12">
        <v>124400</v>
      </c>
      <c r="C31" s="12">
        <v>124400</v>
      </c>
    </row>
    <row r="32" spans="1:3" x14ac:dyDescent="0.25">
      <c r="A32" s="7" t="s">
        <v>23</v>
      </c>
      <c r="B32" s="12">
        <v>124400</v>
      </c>
      <c r="C32" s="12">
        <v>124400</v>
      </c>
    </row>
    <row r="37" spans="1:2" s="10" customFormat="1" ht="14" x14ac:dyDescent="0.3">
      <c r="A37" s="10" t="s">
        <v>41</v>
      </c>
    </row>
    <row r="38" spans="1:2" s="10" customFormat="1" ht="14" x14ac:dyDescent="0.3">
      <c r="A38" s="10" t="s">
        <v>27</v>
      </c>
    </row>
    <row r="40" spans="1:2" x14ac:dyDescent="0.25">
      <c r="A40" s="11" t="s">
        <v>12</v>
      </c>
      <c r="B40" t="s">
        <v>40</v>
      </c>
    </row>
    <row r="41" spans="1:2" x14ac:dyDescent="0.25">
      <c r="A41" s="7" t="s">
        <v>9</v>
      </c>
      <c r="B41" s="17">
        <v>1.0192926045016077</v>
      </c>
    </row>
    <row r="42" spans="1:2" x14ac:dyDescent="0.25">
      <c r="A42" s="7" t="s">
        <v>17</v>
      </c>
      <c r="B42" s="17">
        <v>1.1189710610932475</v>
      </c>
    </row>
    <row r="43" spans="1:2" x14ac:dyDescent="0.25">
      <c r="A43" s="7" t="s">
        <v>20</v>
      </c>
      <c r="B43" s="17">
        <v>0.909967845659164</v>
      </c>
    </row>
    <row r="44" spans="1:2" x14ac:dyDescent="0.25">
      <c r="A44" s="7" t="s">
        <v>14</v>
      </c>
      <c r="B44" s="17">
        <v>0.95176848874598075</v>
      </c>
    </row>
    <row r="45" spans="1:2" x14ac:dyDescent="0.25">
      <c r="A45" s="7" t="s">
        <v>23</v>
      </c>
      <c r="B45" s="17">
        <v>1</v>
      </c>
    </row>
    <row r="47" spans="1:2" s="10" customFormat="1" ht="14" x14ac:dyDescent="0.3">
      <c r="A47" s="10" t="s">
        <v>42</v>
      </c>
    </row>
    <row r="48" spans="1:2" s="10" customFormat="1" ht="14" x14ac:dyDescent="0.3">
      <c r="A48" s="10" t="s">
        <v>44</v>
      </c>
    </row>
    <row r="50" spans="1:11" x14ac:dyDescent="0.25">
      <c r="A50" s="11" t="s">
        <v>12</v>
      </c>
      <c r="B50" t="s">
        <v>43</v>
      </c>
    </row>
    <row r="51" spans="1:11" x14ac:dyDescent="0.25">
      <c r="A51" s="7" t="s">
        <v>9</v>
      </c>
      <c r="B51" s="17">
        <v>0.24646464646464647</v>
      </c>
    </row>
    <row r="52" spans="1:11" x14ac:dyDescent="0.25">
      <c r="A52" s="7" t="s">
        <v>17</v>
      </c>
      <c r="B52" s="17">
        <v>0.28686868686868688</v>
      </c>
    </row>
    <row r="53" spans="1:11" x14ac:dyDescent="0.25">
      <c r="A53" s="7" t="s">
        <v>20</v>
      </c>
      <c r="B53" s="17">
        <v>0.22828282828282828</v>
      </c>
    </row>
    <row r="54" spans="1:11" x14ac:dyDescent="0.25">
      <c r="A54" s="7" t="s">
        <v>14</v>
      </c>
      <c r="B54" s="17">
        <v>0.23838383838383839</v>
      </c>
    </row>
    <row r="55" spans="1:11" x14ac:dyDescent="0.25">
      <c r="A55" s="7" t="s">
        <v>23</v>
      </c>
      <c r="B55" s="17">
        <v>1</v>
      </c>
    </row>
    <row r="58" spans="1:11" ht="14" x14ac:dyDescent="0.3">
      <c r="A58" s="10" t="s">
        <v>46</v>
      </c>
      <c r="B58" s="10"/>
      <c r="C58" s="10"/>
      <c r="D58" s="10"/>
      <c r="E58" s="10"/>
      <c r="F58" s="10"/>
      <c r="G58" s="10"/>
      <c r="H58" s="10"/>
      <c r="I58" s="10"/>
      <c r="J58" s="10"/>
      <c r="K58" s="10"/>
    </row>
    <row r="59" spans="1:11" ht="14" x14ac:dyDescent="0.3">
      <c r="A59" s="10" t="s">
        <v>45</v>
      </c>
      <c r="B59" s="10"/>
      <c r="C59" s="10"/>
      <c r="D59" s="10"/>
      <c r="E59" s="10"/>
      <c r="F59" s="10"/>
      <c r="G59" s="10"/>
      <c r="H59" s="10"/>
      <c r="I59" s="10"/>
      <c r="J59" s="10"/>
      <c r="K59" s="10"/>
    </row>
    <row r="60" spans="1:11" ht="14" x14ac:dyDescent="0.3">
      <c r="A60" s="10" t="s">
        <v>28</v>
      </c>
      <c r="B60" s="10"/>
      <c r="C60" s="10"/>
      <c r="D60" s="10"/>
      <c r="E60" s="10"/>
      <c r="F60" s="10"/>
      <c r="G60" s="10"/>
      <c r="H60" s="10"/>
      <c r="I60" s="10"/>
      <c r="J60" s="10"/>
      <c r="K60" s="10"/>
    </row>
  </sheetData>
  <mergeCells count="1">
    <mergeCell ref="A1:H1"/>
  </mergeCells>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DPP-20</vt:lpstr>
      <vt:lpstr>Ans DPP-20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2025-12-22T13:29:55Z</dcterms:created>
  <dcterms:modified xsi:type="dcterms:W3CDTF">2025-12-22T14:08:28Z</dcterms:modified>
</cp:coreProperties>
</file>